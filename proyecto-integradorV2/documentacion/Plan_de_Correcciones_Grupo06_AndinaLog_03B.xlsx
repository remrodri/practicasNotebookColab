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91" yWindow="2091" windowWidth="18515" windowHeight="10740" tabRatio="500" firstSheet="0" activeTab="0" autoFilterDateGrouping="1"/>
  </bookViews>
  <sheets>
    <sheet name="Léame" sheetId="1" state="visible" r:id="rId1"/>
    <sheet name="Plan_de_Correcciones" sheetId="2" state="visible" r:id="rId2"/>
  </sheets>
  <definedNames/>
  <calcPr calcId="191029" fullCalcOnLoad="1" iterateDelta="0.0001"/>
</workbook>
</file>

<file path=xl/styles.xml><?xml version="1.0" encoding="utf-8"?>
<styleSheet xmlns="http://schemas.openxmlformats.org/spreadsheetml/2006/main">
  <numFmts count="0"/>
  <fonts count="14">
    <font>
      <name val="Calibri"/>
      <charset val="1"/>
      <family val="2"/>
      <color theme="1"/>
      <sz val="11"/>
    </font>
    <font>
      <name val="Arial"/>
      <charset val="1"/>
      <b val="1"/>
      <color rgb="FF1F3864"/>
      <sz val="15"/>
    </font>
    <font>
      <name val="Arial"/>
      <charset val="1"/>
      <i val="1"/>
      <color rgb="FF2E5B8A"/>
      <sz val="11"/>
    </font>
    <font>
      <name val="Arial"/>
      <charset val="1"/>
      <color rgb="FF000000"/>
      <sz val="10"/>
    </font>
    <font>
      <name val="Arial"/>
      <charset val="1"/>
      <color rgb="FF595959"/>
      <sz val="10"/>
    </font>
    <font>
      <name val="Arial"/>
      <charset val="1"/>
      <b val="1"/>
      <color rgb="FF1F3864"/>
      <sz val="12"/>
    </font>
    <font>
      <name val="Arial"/>
      <charset val="1"/>
      <sz val="10"/>
    </font>
    <font>
      <name val="Arial"/>
      <charset val="1"/>
      <b val="1"/>
      <color rgb="FF1F3864"/>
      <sz val="14"/>
    </font>
    <font>
      <name val="Arial"/>
      <charset val="1"/>
      <i val="1"/>
      <color rgb="FF595959"/>
      <sz val="10"/>
    </font>
    <font>
      <name val="Arial"/>
      <charset val="1"/>
      <b val="1"/>
      <color rgb="FF1F3864"/>
      <sz val="10"/>
    </font>
    <font>
      <name val="Arial"/>
      <charset val="1"/>
      <b val="1"/>
      <color rgb="FFFFFFFF"/>
      <sz val="9"/>
    </font>
    <font>
      <name val="Arial"/>
      <charset val="1"/>
      <b val="1"/>
      <color rgb="FF000000"/>
      <sz val="10"/>
    </font>
    <font>
      <name val="Arial"/>
      <charset val="1"/>
      <i val="1"/>
      <sz val="10"/>
    </font>
    <font>
      <name val="Arial"/>
      <family val="2"/>
      <sz val="10"/>
    </font>
  </fonts>
  <fills count="7">
    <fill>
      <patternFill/>
    </fill>
    <fill>
      <patternFill patternType="gray125"/>
    </fill>
    <fill>
      <patternFill patternType="solid">
        <fgColor rgb="FFEDF2F7"/>
        <bgColor rgb="FFFCE8E6"/>
      </patternFill>
    </fill>
    <fill>
      <patternFill patternType="solid">
        <fgColor rgb="FFFFF7CC"/>
        <bgColor rgb="FFFCE8E6"/>
      </patternFill>
    </fill>
    <fill>
      <patternFill patternType="solid">
        <fgColor rgb="FF1F3864"/>
        <bgColor rgb="FF333333"/>
      </patternFill>
    </fill>
    <fill>
      <patternFill patternType="solid">
        <fgColor rgb="FFFCE8E6"/>
        <bgColor rgb="FFEDF2F7"/>
      </patternFill>
    </fill>
    <fill>
      <patternFill patternType="solid">
        <fgColor rgb="FFDCE6F1"/>
        <bgColor rgb="FFEDF2F7"/>
      </patternFill>
    </fill>
  </fills>
  <borders count="7">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1">
    <xf numFmtId="0" fontId="0" fillId="0" borderId="0"/>
  </cellStyleXfs>
  <cellXfs count="28">
    <xf numFmtId="0" fontId="0" fillId="0" borderId="0" pivotButton="0" quotePrefix="0" xfId="0"/>
    <xf numFmtId="0" fontId="8" fillId="0" borderId="1" applyAlignment="1" pivotButton="0" quotePrefix="0" xfId="0">
      <alignment horizontal="left" vertical="center" wrapText="1"/>
    </xf>
    <xf numFmtId="0" fontId="11" fillId="5" borderId="1" applyAlignment="1" pivotButton="0" quotePrefix="0" xfId="0">
      <alignment horizontal="left" vertical="center" wrapText="1"/>
    </xf>
    <xf numFmtId="0" fontId="10" fillId="4" borderId="2" applyAlignment="1" pivotButton="0" quotePrefix="0" xfId="0">
      <alignment horizontal="center" vertical="center" wrapText="1"/>
    </xf>
    <xf numFmtId="0" fontId="3" fillId="3" borderId="1" applyAlignment="1" pivotButton="0" quotePrefix="0" xfId="0">
      <alignment horizontal="left" vertical="center" wrapText="1"/>
    </xf>
    <xf numFmtId="0" fontId="9" fillId="2" borderId="1" applyAlignment="1" pivotButton="0" quotePrefix="0" xfId="0">
      <alignment horizontal="left" vertical="center" wrapText="1"/>
    </xf>
    <xf numFmtId="0" fontId="5" fillId="0" borderId="0" pivotButton="0" quotePrefix="0" xfId="0"/>
    <xf numFmtId="0" fontId="8" fillId="2" borderId="1" applyAlignment="1" pivotButton="0" quotePrefix="0" xfId="0">
      <alignment horizontal="left" vertical="center" wrapText="1"/>
    </xf>
    <xf numFmtId="0" fontId="7"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9" fillId="2" borderId="2" applyAlignment="1" pivotButton="0" quotePrefix="0" xfId="0">
      <alignment horizontal="left" vertical="center" wrapText="1"/>
    </xf>
    <xf numFmtId="0" fontId="3" fillId="3" borderId="2" applyAlignment="1" pivotButton="0" quotePrefix="0" xfId="0">
      <alignment horizontal="left" vertical="center" wrapText="1"/>
    </xf>
    <xf numFmtId="0" fontId="10" fillId="4" borderId="2" applyAlignment="1" pivotButton="0" quotePrefix="0" xfId="0">
      <alignment horizontal="center" vertical="center" wrapText="1"/>
    </xf>
    <xf numFmtId="0" fontId="11"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12" fillId="6" borderId="0" applyAlignment="1" pivotButton="0" quotePrefix="0" xfId="0">
      <alignment vertical="center" wrapText="1"/>
    </xf>
    <xf numFmtId="0" fontId="3" fillId="0" borderId="2" applyAlignment="1" pivotButton="0" quotePrefix="0" xfId="0">
      <alignment horizontal="center" vertical="center" wrapText="1"/>
    </xf>
    <xf numFmtId="0" fontId="0" fillId="0" borderId="4" pivotButton="0" quotePrefix="0" xfId="0"/>
    <xf numFmtId="0" fontId="3" fillId="3" borderId="1" applyAlignment="1" pivotButton="0" quotePrefix="0" xfId="0">
      <alignment horizontal="left" vertical="center" wrapText="1"/>
    </xf>
    <xf numFmtId="0" fontId="3" fillId="3" borderId="2" applyAlignment="1" pivotButton="0" quotePrefix="0" xfId="0">
      <alignment horizontal="left" vertical="center" wrapText="1"/>
    </xf>
    <xf numFmtId="0" fontId="0" fillId="0" borderId="0" applyAlignment="1" pivotButton="0" quotePrefix="0" xfId="0">
      <alignment horizontal="left" vertical="center"/>
    </xf>
    <xf numFmtId="0" fontId="0" fillId="0" borderId="6" pivotButton="0" quotePrefix="0" xfId="0"/>
    <xf numFmtId="0" fontId="3" fillId="3" borderId="2"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CC"/>
      <rgbColor rgb="FFED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1"/>
      <rgbColor rgb="FFCCFFCC"/>
      <rgbColor rgb="FFFCE8E6"/>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B8A"/>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Unknown Author</author>
  </authors>
  <commentList>
    <comment ref="A9" authorId="0" shapeId="0">
      <text>
        <t>Total de hallazgos registrados en la Sección 3 (no incluye las filas de Ejemplo).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0"/>
  <sheetViews>
    <sheetView showGridLines="0" tabSelected="1" zoomScaleNormal="100" workbookViewId="0">
      <selection activeCell="A1" sqref="A1"/>
    </sheetView>
  </sheetViews>
  <sheetFormatPr baseColWidth="8" defaultColWidth="8.69140625" defaultRowHeight="14.6"/>
  <cols>
    <col width="98" customWidth="1" min="1" max="1"/>
  </cols>
  <sheetData>
    <row r="1" ht="19.3" customHeight="1">
      <c r="A1" s="9" t="inlineStr">
        <is>
          <t>Plan de Correcciones</t>
        </is>
      </c>
    </row>
    <row r="2">
      <c r="A2" s="10" t="inlineStr">
        <is>
          <t>Proyecto Integrador · Módulo 3 — Entregable 6 de 6 (solo si aplica)</t>
        </is>
      </c>
    </row>
    <row r="4" ht="37.3" customHeight="1">
      <c r="A4" s="11" t="inlineStr">
        <is>
          <t>Esta plantilla solo es obligatoria si el estado automático de la Rúbrica de Preentrega (GIAD_M3_S12_Rubrica_Preentrega_CALCULADORA.xlsx) NO dio "LISTA PARA DEFENSA". Si su equipo recibió ese estado, no hay hallazgos que corregir y no necesitan completar este archivo.</t>
        </is>
      </c>
    </row>
    <row r="5">
      <c r="A5" s="12" t="n"/>
    </row>
    <row r="6" ht="49.75" customHeight="1">
      <c r="A6" s="11" t="inlineStr">
        <is>
          <t>La Rúbrica de Preentrega ya incluye, en su Sección 5 ("Plan de correcciones"), 3 filas fijas para anotar el hallazgo crítico y hasta dos hallazgos importantes durante la sesión de preentrega — con el docente presente y poco tiempo. Esta plantilla retoma exactamente esos mismos hallazgos (misma Prioridad, misma Categoría) y les da el espacio que la sesión no tiene: registrar la acción correctiva completa, quién la hizo, con qué evidencia se cerró y cuándo.</t>
        </is>
      </c>
    </row>
    <row r="7">
      <c r="A7" s="12" t="n"/>
    </row>
    <row r="8">
      <c r="A8" s="11" t="inlineStr">
        <is>
          <t>Cómo completarla:</t>
        </is>
      </c>
    </row>
    <row r="9" ht="24.9" customHeight="1">
      <c r="A9" s="11" t="inlineStr">
        <is>
          <t>1) Copien a la Sección 3 cada hallazgo que aparece en la Sección 5 de la Rúbrica de Preentrega (uno por fila), respetando su Prioridad y anotando la Categoría a la que pertenece (una de las 4 categorías críticas usadas también en la Defensa).</t>
        </is>
      </c>
    </row>
    <row r="10" ht="24.9" customHeight="1">
      <c r="A10" s="11" t="inlineStr">
        <is>
          <t>2) Describan la acción correctiva de forma verificable — no "lo arreglamos", sino qué cambió exactamente en el notebook, el dataset o el informe.</t>
        </is>
      </c>
    </row>
    <row r="11" ht="37.3" customHeight="1">
      <c r="A11" s="11" t="inlineStr">
        <is>
          <t>3) Actualicen el Estado a medida que avanzan. Un hallazgo pasa a "Resuelto" cuando la acción está aplicada, y a "Verificado" cuando otro integrante (no quien hizo la corrección) confirmó que la evidencia de cierre efectivamente resuelve el hallazgo.</t>
        </is>
      </c>
    </row>
    <row r="12" ht="37.3" customHeight="1">
      <c r="A12" s="11" t="inlineStr">
        <is>
          <t>4) Revisen el resumen automático (Sección 2) antes de la entrega final y antes de la Defensa: mientras haya hallazgos CRÍTICA sin cerrar, el proyecto no está en condiciones de defenderse — esa es la misma regla que ya aplica en la Preentrega.</t>
        </is>
      </c>
    </row>
    <row r="13">
      <c r="A13" s="12" t="n"/>
    </row>
    <row r="14" ht="37.3" customHeight="1">
      <c r="A14" s="11" t="inlineStr">
        <is>
          <t>Las filas de "Ejemplo" (fondo celeste) usan el mismo escenario ficticio de referencia — "Tiendas Andina" — que otras plantillas del curso, y no corresponden a ningún subcaso real. No se editan ni se borran ni se cuentan en el resumen automático; agreguen todas las filas amarillas que necesiten copiando el formato hacia abajo.</t>
        </is>
      </c>
    </row>
    <row r="16" ht="15.45" customHeight="1">
      <c r="A16" s="13" t="inlineStr">
        <is>
          <t>Las 4 categorías críticas (las mismas de la Preentrega S12 y la Defensa S13)</t>
        </is>
      </c>
    </row>
    <row r="17" ht="24.9" customHeight="1">
      <c r="A17" s="14" t="inlineStr">
        <is>
          <t>• Validez y reproducibilidad: fuga de información, evaluación solo en entrenamiento, o el notebook no ejecuta de principio a fin.</t>
        </is>
      </c>
    </row>
    <row r="18">
      <c r="A18" s="14" t="inlineStr">
        <is>
          <t>• Confidencialidad: se exponen datos personales, credenciales o secretos operativos sin anonimizar o sin autorización.</t>
        </is>
      </c>
    </row>
    <row r="19" ht="24.9" customHeight="1">
      <c r="A19" s="14" t="inlineStr">
        <is>
          <t>• Coherencia y completitud: el problema y las recomendaciones no guardan relación verificable, o falta evidencia indispensable.</t>
        </is>
      </c>
    </row>
    <row r="20" ht="24.9" customHeight="1">
      <c r="A20" s="14" t="inlineStr">
        <is>
          <t>• Responsabilidad y autoría: se afirma causalidad sin sustento, se ocultan resultados desfavorables o no se declara el uso de IA.</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fitToPage="1"/>
  </sheetPr>
  <dimension ref="A1:I28"/>
  <sheetViews>
    <sheetView showGridLines="0" zoomScaleNormal="100" workbookViewId="0">
      <pane ySplit="13" topLeftCell="A14" activePane="bottomLeft" state="frozen"/>
      <selection pane="bottomLeft" activeCell="D14" sqref="D14"/>
    </sheetView>
  </sheetViews>
  <sheetFormatPr baseColWidth="8" defaultColWidth="8.69140625" defaultRowHeight="14.6"/>
  <cols>
    <col width="5" customWidth="1" min="1" max="1"/>
    <col width="14" customWidth="1" min="2" max="2"/>
    <col width="22" customWidth="1" min="3" max="3"/>
    <col width="32" customWidth="1" min="4" max="5"/>
    <col width="16" customWidth="1" min="6" max="6"/>
    <col width="26" customWidth="1" min="7" max="7"/>
    <col width="14" customWidth="1" min="8" max="9"/>
  </cols>
  <sheetData>
    <row r="1" ht="17.6" customHeight="1">
      <c r="A1" s="8" t="inlineStr">
        <is>
          <t>Plan de Correcciones — Proyecto Integrador</t>
        </is>
      </c>
    </row>
    <row r="2" ht="21.75" customHeight="1">
      <c r="A2" s="7" t="inlineStr">
        <is>
          <t>Entregable 6/6 (solo si aplica) · retoma los hallazgos de la Preentrega S12 y documenta su cierre.</t>
        </is>
      </c>
      <c r="B2" s="22" t="n"/>
      <c r="C2" s="22" t="n"/>
      <c r="D2" s="22" t="n"/>
      <c r="E2" s="22" t="n"/>
      <c r="F2" s="22" t="n"/>
      <c r="G2" s="22" t="n"/>
      <c r="H2" s="22" t="n"/>
      <c r="I2" s="22" t="n"/>
    </row>
    <row r="4" ht="15.45" customHeight="1">
      <c r="A4" s="13" t="inlineStr">
        <is>
          <t>1. Identificación</t>
        </is>
      </c>
    </row>
    <row r="5" ht="30" customHeight="1">
      <c r="A5" s="5" t="inlineStr">
        <is>
          <t>Equipo</t>
        </is>
      </c>
      <c r="B5" s="22" t="n"/>
      <c r="C5" s="23" t="inlineStr">
        <is>
          <t>Grupo 06 · AndinaLog · Subcaso 03B (alerta térmica en los próximos 60 minutos)</t>
        </is>
      </c>
      <c r="D5" s="22" t="n"/>
      <c r="E5" s="15" t="inlineStr">
        <is>
          <t>Fecha de la Preentrega (S12)</t>
        </is>
      </c>
      <c r="F5" s="24" t="inlineStr">
        <is>
          <t>Pendiente</t>
        </is>
      </c>
      <c r="G5" s="15" t="inlineStr">
        <is>
          <t>Fecha de esta actualización</t>
        </is>
      </c>
      <c r="H5" s="23" t="inlineStr">
        <is>
          <t>2026-09-25</t>
        </is>
      </c>
      <c r="I5" s="22" t="n"/>
    </row>
    <row r="6" ht="30" customHeight="1">
      <c r="A6" s="5" t="inlineStr">
        <is>
          <t>Integrantes</t>
        </is>
      </c>
      <c r="B6" s="22" t="n"/>
      <c r="C6" s="23" t="inlineStr">
        <is>
          <t>Completar nombres de integrantes antes de la entrega</t>
        </is>
      </c>
      <c r="D6" s="22" t="n"/>
      <c r="E6" s="15" t="inlineStr">
        <is>
          <t>Estado recibido en la Preentrega</t>
        </is>
      </c>
      <c r="F6" s="23" t="inlineStr">
        <is>
          <t>Pendiente</t>
        </is>
      </c>
      <c r="G6" s="22" t="n"/>
    </row>
    <row r="7" ht="15" customHeight="1">
      <c r="A7" s="25" t="inlineStr">
        <is>
          <t>Pendiente de completar después de recibir la Rúbrica de Preentrega S12. La Rúbrica S12 aún no fue recibida, por lo que el Estado recibido y la Fecha de la Preentrega quedan como Pendiente.</t>
        </is>
      </c>
    </row>
    <row r="8" ht="15.45" customHeight="1">
      <c r="A8" s="13" t="inlineStr">
        <is>
          <t>2. Resumen automático (no editar — se calcula solo)</t>
        </is>
      </c>
    </row>
    <row r="9" ht="15" customHeight="1">
      <c r="A9" s="17" t="inlineStr">
        <is>
          <t>Total</t>
        </is>
      </c>
      <c r="B9" s="17" t="inlineStr">
        <is>
          <t>Pendientes</t>
        </is>
      </c>
      <c r="C9" s="17" t="inlineStr">
        <is>
          <t>En progreso</t>
        </is>
      </c>
      <c r="D9" s="17" t="inlineStr">
        <is>
          <t>Resueltos</t>
        </is>
      </c>
      <c r="E9" s="17" t="inlineStr">
        <is>
          <t>Verificados</t>
        </is>
      </c>
      <c r="F9" s="17" t="inlineStr">
        <is>
          <t>CRÍTICA sin cerrar</t>
        </is>
      </c>
      <c r="G9" s="17" t="inlineStr">
        <is>
          <t>Estado del plan</t>
        </is>
      </c>
      <c r="H9" s="22" t="n"/>
      <c r="I9" s="26" t="n"/>
    </row>
    <row r="10">
      <c r="A10" s="18">
        <f>COUNTA(B17:B28)</f>
        <v/>
      </c>
      <c r="B10" s="19">
        <f>COUNTIF(I17:I28,"Pendiente")</f>
        <v/>
      </c>
      <c r="C10" s="19">
        <f>COUNTIF(I17:I28,"En progreso")</f>
        <v/>
      </c>
      <c r="D10" s="19">
        <f>COUNTIF(I17:I28,"Resuelto")</f>
        <v/>
      </c>
      <c r="E10" s="19">
        <f>COUNTIF(I17:I28,"Verificado")</f>
        <v/>
      </c>
      <c r="F10" s="18">
        <f>COUNTIFS(B17:B28,"CRÍTICA",I17:I28,"&lt;&gt;Resuelto",I17:I28,"&lt;&gt;Verificado")</f>
        <v/>
      </c>
      <c r="G10" s="2">
        <f>IF(F10&gt;0,"BLOQUEA — hay hallazgos CRÍTICA sin cerrar",IF(COUNTIFS(B17:B28,"IMPORTANTE",I17:I28,"&lt;&gt;Resuelto",I17:I28,"&lt;&gt;Verificado")&gt;0,"En progreso — quedan hallazgos IMPORTANTES","Completo — todos los hallazgos cerrados"))</f>
        <v/>
      </c>
      <c r="H10" s="22" t="n"/>
      <c r="I10" s="22" t="n"/>
    </row>
    <row r="12" ht="15.45" customHeight="1">
      <c r="A12" s="13" t="inlineStr">
        <is>
          <t>3. Detalle de hallazgos y acciones</t>
        </is>
      </c>
    </row>
    <row r="13" ht="19.5" customHeight="1">
      <c r="A13" s="17" t="inlineStr">
        <is>
          <t>N.°</t>
        </is>
      </c>
      <c r="B13" s="17" t="inlineStr">
        <is>
          <t>Prioridad</t>
        </is>
      </c>
      <c r="C13" s="17" t="inlineStr">
        <is>
          <t>Categoría</t>
        </is>
      </c>
      <c r="D13" s="17" t="inlineStr">
        <is>
          <t>Hallazgo recibido en la Preentrega</t>
        </is>
      </c>
      <c r="E13" s="17" t="inlineStr">
        <is>
          <t>Acción correctiva aplicada</t>
        </is>
      </c>
      <c r="F13" s="17" t="inlineStr">
        <is>
          <t>Responsable</t>
        </is>
      </c>
      <c r="G13" s="17" t="inlineStr">
        <is>
          <t>Evidencia de cierre</t>
        </is>
      </c>
      <c r="H13" s="17" t="inlineStr">
        <is>
          <t>Fecha de cierre</t>
        </is>
      </c>
      <c r="I13" s="17" t="inlineStr">
        <is>
          <t>Estado</t>
        </is>
      </c>
    </row>
    <row r="14" ht="78" customHeight="1">
      <c r="A14" s="20" t="inlineStr">
        <is>
          <t>Ej.</t>
        </is>
      </c>
      <c r="B14" s="20" t="inlineStr">
        <is>
          <t>CRÍTICA</t>
        </is>
      </c>
      <c r="C14" s="20" t="inlineStr">
        <is>
          <t>Validez y reproducibilidad</t>
        </is>
      </c>
      <c r="D14" s="20" t="inlineStr">
        <is>
          <t>El notebook no ejecuta de principio a fin: falla en la celda de unión por una clave duplicada en una tabla fuente.</t>
        </is>
      </c>
      <c r="E14" s="20" t="inlineStr">
        <is>
          <t>Se agregó groupby().agg() para des-duplicar la tabla de catálogo antes del merge, y un assert que verifica que la clave de unión es única antes de unir.</t>
        </is>
      </c>
      <c r="F14" s="20" t="inlineStr">
        <is>
          <t>Nombre del integrante</t>
        </is>
      </c>
      <c r="G14" s="20" t="inlineStr">
        <is>
          <t>notebook.ipynb · celda 15 (assert unicidad + merge sin error)</t>
        </is>
      </c>
      <c r="H14" s="20" t="inlineStr">
        <is>
          <t>—</t>
        </is>
      </c>
      <c r="I14" s="20" t="inlineStr">
        <is>
          <t>Resuelto</t>
        </is>
      </c>
    </row>
    <row r="15" ht="78" customHeight="1">
      <c r="A15" s="20" t="inlineStr">
        <is>
          <t>Ej.</t>
        </is>
      </c>
      <c r="B15" s="20" t="inlineStr">
        <is>
          <t>IMPORTANTE</t>
        </is>
      </c>
      <c r="C15" s="20" t="inlineStr">
        <is>
          <t>Coherencia y completitud</t>
        </is>
      </c>
      <c r="D15" s="20" t="inlineStr">
        <is>
          <t>El informe recomienda una acción que el modelo no evalúa (el notebook no calcula esa métrica).</t>
        </is>
      </c>
      <c r="E15" s="20" t="inlineStr">
        <is>
          <t>Se agregó al notebook el cálculo de la métrica citada y se ajustó el párrafo de recomendación para que coincida con lo que el modelo efectivamente mide.</t>
        </is>
      </c>
      <c r="F15" s="20" t="inlineStr">
        <is>
          <t>Nombre del integrante</t>
        </is>
      </c>
      <c r="G15" s="20" t="inlineStr">
        <is>
          <t>Informe_Tecnico.pdf · Sección 4, y notebook.ipynb · celda 30</t>
        </is>
      </c>
      <c r="H15" s="20" t="inlineStr">
        <is>
          <t>—</t>
        </is>
      </c>
      <c r="I15" s="20" t="inlineStr">
        <is>
          <t>En progreso</t>
        </is>
      </c>
    </row>
    <row r="16" ht="15" customHeight="1">
      <c r="A16" s="1" t="inlineStr">
        <is>
          <t>↑ Ejemplos (escenario ficticio "Tiendas Andina") — no editar ni borrar ni contar en el resumen</t>
        </is>
      </c>
      <c r="B16" s="22" t="n"/>
      <c r="C16" s="22" t="n"/>
      <c r="D16" s="22" t="n"/>
      <c r="E16" s="22" t="n"/>
      <c r="F16" s="22" t="n"/>
      <c r="G16" s="22" t="n"/>
      <c r="H16" s="22" t="n"/>
      <c r="I16" s="22" t="n"/>
    </row>
    <row r="17" ht="118" customHeight="1">
      <c r="A17" s="21" t="n">
        <v>1</v>
      </c>
      <c r="B17" s="27" t="inlineStr">
        <is>
          <t>MENOR</t>
        </is>
      </c>
      <c r="C17" s="27" t="inlineStr">
        <is>
          <t>Validez y reproducibilidad</t>
        </is>
      </c>
      <c r="D17" s="27" t="inlineStr">
        <is>
          <t>Observación interna de la auditoría propia del proyecto (no proviene de la Rúbrica S12, que aún no se recibe): dos controles finales afirmaban una condición en lugar de comprobarla (un único ajuste del Pipeline y una única evaluación del conjunto de prueba).</t>
        </is>
      </c>
      <c r="E17" s="27" t="inlineStr">
        <is>
          <t>Se sustituyeron ambos controles por controles que calculan su propia evidencia: se registró cada ajuste del modelo principal con la forma exacta de X usada y se envolvió la predicción sobre prueba en un contador por modelo. El control verifica que hubo un solo ajuste con X de entrenamiento y que hubo una sola pasada de predicción por modelo, en lugar de afirmar el resultado.</t>
        </is>
      </c>
      <c r="F17" s="27" t="inlineStr">
        <is>
          <t>Asignar integrante</t>
        </is>
      </c>
      <c r="G17" s="27" t="inlineStr">
        <is>
          <t>MOD_01_AndinaLog_Regresion_Logistica.ipynb · celda 19 (registro de ajustes) y celda 29 (contador de pasada sobre prueba); celda 40, tabla de controles: «Pipeline ajustado una sola vez y solo con X_tr (verificado, no afirmado) True» y «El conjunto de prueba se evaluo una sola vez por modelo (contador verificado) True»; salida de la celda 29: «Pasadas de prediccion sobre el conjunto de prueba: {'modelo_principal': 1, 'linea_base': 1}».</t>
        </is>
      </c>
      <c r="H17" s="27" t="inlineStr">
        <is>
          <t>2026-09-25</t>
        </is>
      </c>
      <c r="I17" s="27" t="inlineStr">
        <is>
          <t>Resuelto</t>
        </is>
      </c>
    </row>
    <row r="18" ht="118" customHeight="1">
      <c r="A18" s="21" t="n">
        <v>2</v>
      </c>
      <c r="B18" s="27" t="inlineStr">
        <is>
          <t>MENOR</t>
        </is>
      </c>
      <c r="C18" s="27" t="inlineStr">
        <is>
          <t>Validez y reproducibilidad</t>
        </is>
      </c>
      <c r="D18" s="27" t="inlineStr">
        <is>
          <t>Observación interna de la auditoría propia del proyecto (no proviene de la Rúbrica S12, que aún no se recibe): las estadísticas descriptivas que justificaban la mediana se calculaban sobre toda la población de modelado, que incluye las filas reservadas de prueba.</t>
        </is>
      </c>
      <c r="E18" s="27" t="inlineStr">
        <is>
          <t>Se movió la tabla descriptiva después del split y se limitó al conjunto de entrenamiento, indicando en la propia salida cuántas filas se usaron, de modo que ninguna cifra resumida incluya el conjunto de prueba. El imputador del Pipeline ya se ajustaba solo con entrenamiento.</t>
        </is>
      </c>
      <c r="F18" s="27" t="inlineStr">
        <is>
          <t>Asignar integrante</t>
        </is>
      </c>
      <c r="G18" s="27" t="inlineStr">
        <is>
          <t>MOD_01_AndinaLog_Regresion_Logistica.ipynb · celda 19, salida «Justificacion de la mediana con los datos reales, SOLO de entrenamiento (filas usadas: 20621)»; celda 40, control «Las estadisticas descriptivas se resumen solo con filas de entrenamiento» en OK.</t>
        </is>
      </c>
      <c r="H18" s="27" t="inlineStr">
        <is>
          <t>2026-09-25</t>
        </is>
      </c>
      <c r="I18" s="27" t="inlineStr">
        <is>
          <t>Resuelto</t>
        </is>
      </c>
    </row>
    <row r="19" ht="118" customHeight="1">
      <c r="A19" s="21" t="n">
        <v>3</v>
      </c>
      <c r="B19" s="27" t="inlineStr">
        <is>
          <t>MENOR</t>
        </is>
      </c>
      <c r="C19" s="27" t="inlineStr">
        <is>
          <t>Validez y reproducibilidad</t>
        </is>
      </c>
      <c r="D19" s="27" t="inlineStr">
        <is>
          <t>Observación interna de la auditoría propia del proyecto (no proviene de la Rúbrica S12, que aún no se recibe): la función de codificación neutral de ausencia de historia no revalidaba que el nulo correspondiera a una causa estructural declarada, dependía de la celda previa.</t>
        </is>
      </c>
      <c r="E19" s="27" t="inlineStr">
        <is>
          <t>La función ahora valida por sí misma los motivos declarados antes de codificar y detiene la ejecución con un error explícito si algún nulo carece de motivo estructural o tiene un motivo no estructural, de modo que la regla no pueda aplicarse a un faltante inesperado aunque se reutilice la función.</t>
        </is>
      </c>
      <c r="F19" s="27" t="inlineStr">
        <is>
          <t>Asignar integrante</t>
        </is>
      </c>
      <c r="G19" s="27" t="inlineStr">
        <is>
          <t>MOD_01_AndinaLog_Regresion_Logistica.ipynb · celda 13, función preparar_faltantes_estructurales (validación de motivos y raise ValueError); celda 12, salida «Regla aplicada solo a ausencias estructurales declaradas: OK».</t>
        </is>
      </c>
      <c r="H19" s="27" t="inlineStr">
        <is>
          <t>2026-09-25</t>
        </is>
      </c>
      <c r="I19" s="27" t="inlineStr">
        <is>
          <t>Resuelto</t>
        </is>
      </c>
    </row>
    <row r="20" ht="118" customHeight="1">
      <c r="A20" s="21" t="n">
        <v>4</v>
      </c>
      <c r="B20" s="27" t="inlineStr">
        <is>
          <t>MENOR</t>
        </is>
      </c>
      <c r="C20" s="27" t="inlineStr">
        <is>
          <t>Coherencia y completitud</t>
        </is>
      </c>
      <c r="D20" s="27" t="inlineStr">
        <is>
          <t>Observación interna de la auditoría propia del proyecto (no proviene de la Rúbrica S12, que aún no se recibe): dos gráficos del modelo carecían de leyenda o de etiqueta del eje X.</t>
        </is>
      </c>
      <c r="E20" s="27" t="inlineStr">
        <is>
          <t>Se agregó la leyenda explicativa de cada región en el mapa de calor de las matrices de confusión y se rotuló el eje horizontal del gráfico de comparación de métricas, de modo que los cinco gráficos tengan título, ambos ejes y leyenda.</t>
        </is>
      </c>
      <c r="F20" s="27" t="inlineStr">
        <is>
          <t>Asignar integrante</t>
        </is>
      </c>
      <c r="G20" s="27" t="inlineStr">
        <is>
          <t>MOD_01_AndinaLog_Regresion_Logistica.ipynb · celda 34 (leyenda del mapa de calor) y celda 37 (etiqueta del eje X del gráfico de barras); cinco imágenes embebidas.</t>
        </is>
      </c>
      <c r="H20" s="27" t="inlineStr">
        <is>
          <t>2026-09-25</t>
        </is>
      </c>
      <c r="I20" s="27" t="inlineStr">
        <is>
          <t>Resuelto</t>
        </is>
      </c>
    </row>
    <row r="21" ht="118" customHeight="1">
      <c r="A21" s="21" t="n">
        <v>5</v>
      </c>
      <c r="B21" s="27" t="inlineStr">
        <is>
          <t>MENOR</t>
        </is>
      </c>
      <c r="C21" s="27" t="inlineStr">
        <is>
          <t>Responsabilidad y autoría</t>
        </is>
      </c>
      <c r="D21" s="27" t="inlineStr">
        <is>
          <t>Observación interna de la auditoría propia del proyecto (no proviene de la Rúbrica S12, que aún no se recibe): el informe no declaraba que las probabilidades del modelo balanceado no están calibradas, por lo que la salida podía leerse como riesgo absoluto.</t>
        </is>
      </c>
      <c r="E21" s="27" t="inlineStr">
        <is>
          <t>Se declaró en el notebook y en el informe que class_weight='balanced' reescala la frontera de decisión y que la salida debe interpretarse como puntaje de priorización, no como probabilidad calibrada. El umbral se fija con validación sobre entrenamiento y no leyendo probabilidades.</t>
        </is>
      </c>
      <c r="F21" s="27" t="inlineStr">
        <is>
          <t>Asignar integrante</t>
        </is>
      </c>
      <c r="G21" s="27" t="inlineStr">
        <is>
          <t>MOD_01_AndinaLog_Regresion_Logistica.ipynb · celda 38, bloque «CALIBRACION»; Informe_MOD_01_AndinaLog_Regresion_Logistica.md · sección «Interpretacion de coeficientes» (apartado Calibracion) y «Recomendacion operativa prudente», pauta 4.</t>
        </is>
      </c>
      <c r="H21" s="27" t="inlineStr">
        <is>
          <t>2026-09-25</t>
        </is>
      </c>
      <c r="I21" s="27" t="inlineStr">
        <is>
          <t>Resuelto</t>
        </is>
      </c>
    </row>
    <row r="22" ht="118" customHeight="1">
      <c r="A22" s="21" t="n">
        <v>6</v>
      </c>
      <c r="B22" s="27" t="inlineStr">
        <is>
          <t>MENOR</t>
        </is>
      </c>
      <c r="C22" s="27" t="inlineStr">
        <is>
          <t>Validez y reproducibilidad</t>
        </is>
      </c>
      <c r="D22" s="27" t="inlineStr">
        <is>
          <t>Decisión metodológica documentada (no es un hallazgo recibido): se mantiene class_weight='balanced' como modelo principal pese a que la variante sin ponderar obtiene mayor PR AUC, porque el falso negativo tiene mayor costo operativo en cadena de frío. El equilibrio definitivo precisión-recall queda pendiente de un costo de negocio o de la confirmación del docente.</t>
        </is>
      </c>
      <c r="E22" s="27" t="inlineStr">
        <is>
          <t>Se documentó el bloque de criterios de selección en la configuración del notebook: criterio principal recall, restricción operativa sobre precisión y volumen de alertas, PR AUC como métrica global complementaria y no único criterio, alternativa operativa class_weight=None y pendiente de definición. Además se declaró de forma explícita que balanced no es superior en todas las métricas. La comparación se resolvió únicamente con validación cruzada por grupos dentro de entrenamiento, sin usar el conjunto de prueba, que se reservó para una sola evaluación final.</t>
        </is>
      </c>
      <c r="F22" s="27" t="inlineStr">
        <is>
          <t>Asignar integrante</t>
        </is>
      </c>
      <c r="G22" s="27" t="inlineStr">
        <is>
          <t>MOD_01_AndinaLog_Regresion_Logistica.ipynb · celda 2 (config['sensibilidad']) y celda 25 (bloque de criterios y lectura contra cada criterio); celda 40, control «La comparacion de ponderacion no se hizo con el conjunto de prueba» en OK; Informe_MOD_01_AndinaLog_Regresion_Logistica.md · secciones «Criterio de seleccion del modelo» y «Desbalance y ponderacion de clases»; datos/modelado/metricas_mod_01_regresion_logistica.csv · bloque sensibilidad_B_ponderacion.</t>
        </is>
      </c>
      <c r="H22" s="27" t="inlineStr">
        <is>
          <t>2026-09-25</t>
        </is>
      </c>
      <c r="I22" s="27" t="inlineStr">
        <is>
          <t>Resuelto</t>
        </is>
      </c>
    </row>
    <row r="23">
      <c r="A23" s="21" t="n">
        <v>7</v>
      </c>
      <c r="B23" s="24" t="n"/>
      <c r="C23" s="24" t="n"/>
      <c r="D23" s="24" t="n"/>
      <c r="E23" s="24" t="n"/>
      <c r="F23" s="24" t="n"/>
      <c r="G23" s="24" t="n"/>
      <c r="H23" s="24" t="n"/>
      <c r="I23" s="24" t="n"/>
    </row>
    <row r="24">
      <c r="A24" s="21" t="n">
        <v>8</v>
      </c>
      <c r="B24" s="24" t="n"/>
      <c r="C24" s="24" t="n"/>
      <c r="D24" s="24" t="n"/>
      <c r="E24" s="24" t="n"/>
      <c r="F24" s="24" t="n"/>
      <c r="G24" s="24" t="n"/>
      <c r="H24" s="24" t="n"/>
      <c r="I24" s="24" t="n"/>
    </row>
    <row r="25">
      <c r="A25" s="21" t="n">
        <v>9</v>
      </c>
      <c r="B25" s="24" t="n"/>
      <c r="C25" s="24" t="n"/>
      <c r="D25" s="24" t="n"/>
      <c r="E25" s="24" t="n"/>
      <c r="F25" s="24" t="n"/>
      <c r="G25" s="24" t="n"/>
      <c r="H25" s="24" t="n"/>
      <c r="I25" s="24" t="n"/>
    </row>
    <row r="26">
      <c r="A26" s="21" t="n">
        <v>10</v>
      </c>
      <c r="B26" s="24" t="n"/>
      <c r="C26" s="24" t="n"/>
      <c r="D26" s="24" t="n"/>
      <c r="E26" s="24" t="n"/>
      <c r="F26" s="24" t="n"/>
      <c r="G26" s="24" t="n"/>
      <c r="H26" s="24" t="n"/>
      <c r="I26" s="24" t="n"/>
    </row>
    <row r="27">
      <c r="A27" s="21" t="n">
        <v>11</v>
      </c>
      <c r="B27" s="24" t="n"/>
      <c r="C27" s="24" t="n"/>
      <c r="D27" s="24" t="n"/>
      <c r="E27" s="24" t="n"/>
      <c r="F27" s="24" t="n"/>
      <c r="G27" s="24" t="n"/>
      <c r="H27" s="24" t="n"/>
      <c r="I27" s="24" t="n"/>
    </row>
    <row r="28">
      <c r="A28" s="21" t="n">
        <v>12</v>
      </c>
      <c r="B28" s="24" t="n"/>
      <c r="C28" s="24" t="n"/>
      <c r="D28" s="24" t="n"/>
      <c r="E28" s="24" t="n"/>
      <c r="F28" s="24" t="n"/>
      <c r="G28" s="24" t="n"/>
      <c r="H28" s="24" t="n"/>
      <c r="I28" s="24" t="n"/>
    </row>
  </sheetData>
  <mergeCells count="14">
    <mergeCell ref="G10:I10"/>
    <mergeCell ref="A2:I2"/>
    <mergeCell ref="C6:D6"/>
    <mergeCell ref="C5:D5"/>
    <mergeCell ref="A5:B5"/>
    <mergeCell ref="A1:I1"/>
    <mergeCell ref="G9:I9"/>
    <mergeCell ref="F6:G6"/>
    <mergeCell ref="A8:I8"/>
    <mergeCell ref="H5:I5"/>
    <mergeCell ref="A12:I12"/>
    <mergeCell ref="A4:I4"/>
    <mergeCell ref="A6:B6"/>
    <mergeCell ref="A16:I16"/>
  </mergeCells>
  <dataValidations count="4">
    <dataValidation sqref="F6" showDropDown="0" showInputMessage="0" showErrorMessage="0" allowBlank="1" type="list">
      <formula1>"REQUIERE REENTREGA,INCOMPLETO - FALTAN NIVELES,ACEPTADA CON CORRECCIONES,LISTA PARA DEFENSA"</formula1>
      <formula2>0</formula2>
    </dataValidation>
    <dataValidation sqref="B17:B28" showDropDown="0" showInputMessage="0" showErrorMessage="0" allowBlank="1" type="list">
      <formula1>"CRÍTICA,IMPORTANTE,MENOR"</formula1>
      <formula2>0</formula2>
    </dataValidation>
    <dataValidation sqref="C17:C28" showDropDown="0" showInputMessage="0" showErrorMessage="0" allowBlank="1" type="list">
      <formula1>"Validez y reproducibilidad,Confidencialidad,Coherencia y completitud,Responsabilidad y autoría,Otra"</formula1>
      <formula2>0</formula2>
    </dataValidation>
    <dataValidation sqref="I17:I28" showDropDown="0" showInputMessage="0" showErrorMessage="0" allowBlank="1" type="list">
      <formula1>"Pendiente,En progreso,Resuelto,Verificado"</formula1>
      <formula2>0</formula2>
    </dataValidation>
  </dataValidations>
  <pageMargins left="0.75" right="0.75" top="1" bottom="1" header="0.511811023622047" footer="0.511811023622047"/>
  <pageSetup orientation="landscape" fitToHeight="0"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2026-09-15T01:50:25Z</dcterms:created>
  <dcterms:modified xsi:type="dcterms:W3CDTF">2026-09-25T22:05:00Z</dcterms:modified>
  <cp:lastModifiedBy>Marcos Peredo</cp:lastModifiedBy>
  <cp:revision>0</cp:revision>
</cp:coreProperties>
</file>