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aea0d2408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ame" sheetId="1" r:id="R68943b268dba49ac"/>
    <x:sheet xmlns:r="http://schemas.openxmlformats.org/officeDocument/2006/relationships" name="Plan_de_Correcciones" sheetId="2" r:id="R99e0ac2c1c2c4734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A9" authorId="0">
      <x:text>
        <x:r>
          <x:t>Total de hallazgos registrados en la Sección 3 (no incluye las filas de Ejemplo).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<x:sst xmlns:x="http://schemas.openxmlformats.org/spreadsheetml/2006/main">
  <x:si>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Plan de Correcciones</x:t>
  </x:si>
  <x:si>
    <x:t xml:space="preserve">Proyecto Integrador · Módulo 3 — Entregable 6 de 6 (solo si aplica)</x:t>
  </x:si>
  <x:si>
    <x:t xml:space="preserve">Esta plantilla solo es obligatoria si el estado automático de la Rúbrica de Preentrega (GIAD_M3_S12_Rubrica_Preentrega_CALCULADORA.xlsx) NO dio "LISTA PARA DEFENSA". Si su equipo recibió ese estado, no hay hallazgos que corregir y no necesitan completar este archivo.</x:t>
  </x:si>
  <x:si>
    <x:t xml:space="preserve">La Rúbrica de Preentrega ya incluye, en su Sección 5 ("Plan de correcciones"), 3 filas fijas para anotar el hallazgo crítico y hasta dos hallazgos importantes durante la sesión de preentrega — con el docente presente y poco tiempo. Esta plantilla retoma exactamente esos mismos hallazgos (misma Prioridad, misma Categoría) y les da el espacio que la sesión no tiene: registrar la acción correctiva completa, quién la hizo, con qué evidencia se cerró y cuándo.</x:t>
  </x:si>
  <x:si>
    <x:t xml:space="preserve">Cómo completarla:</x:t>
  </x:si>
  <x:si>
    <x:t xml:space="preserve">1) Copien a la Sección 3 cada hallazgo que aparece en la Sección 5 de la Rúbrica de Preentrega (uno por fila), respetando su Prioridad y anotando la Categoría a la que pertenece (una de las 4 categorías críticas usadas también en la Defensa).</x:t>
  </x:si>
  <x:si>
    <x:t xml:space="preserve">2) Describan la acción correctiva de forma verificable — no "lo arreglamos", sino qué cambió exactamente en el notebook, el dataset o el informe.</x:t>
  </x:si>
  <x:si>
    <x:t xml:space="preserve">3) Actualicen el Estado a medida que avanzan. Un hallazgo pasa a "Resuelto" cuando la acción está aplicada, y a "Verificado" cuando otro integrante (no quien hizo la corrección) confirmó que la evidencia de cierre efectivamente resuelve el hallazgo.</x:t>
  </x:si>
  <x:si>
    <x:t xml:space="preserve">4) Revisen el resumen automático (Sección 2) antes de la entrega final y antes de la Defensa: mientras haya hallazgos CRÍTICA sin cerrar, el proyecto no está en condiciones de defenderse — esa es la misma regla que ya aplica en la Preentrega.</x:t>
  </x:si>
  <x:si>
    <x:t xml:space="preserve">Las filas de "Ejemplo" (fondo celeste) usan el mismo escenario ficticio de referencia — "Tiendas Andina" — que otras plantillas del curso, y no corresponden a ningún subcaso real. No se editan ni se borran ni se cuentan en el resumen automático; agreguen todas las filas amarillas que necesiten copiando el formato hacia abajo.</x:t>
  </x:si>
  <x:si>
    <x:t xml:space="preserve">Las 4 categorías críticas (las mismas de la Preentrega S12 y la Defensa S13)</x:t>
  </x:si>
  <x:si>
    <x:t xml:space="preserve">• Validez y reproducibilidad: fuga de información, evaluación solo en entrenamiento, o el notebook no ejecuta de principio a fin.</x:t>
  </x:si>
  <x:si>
    <x:t xml:space="preserve">• Confidencialidad: se exponen datos personales, credenciales o secretos operativos sin anonimizar o sin autorización.</x:t>
  </x:si>
  <x:si>
    <x:t xml:space="preserve">• Coherencia y completitud: el problema y las recomendaciones no guardan relación verificable, o falta evidencia indispensable.</x:t>
  </x:si>
  <x:si>
    <x:t xml:space="preserve">• Responsabilidad y autoría: se afirma causalidad sin sustento, se ocultan resultados desfavorables o no se declara el uso de IA.</x:t>
  </x:si>
  <x:si>
    <x:t xml:space="preserve">Plan de Correcciones — Proyecto Integrador</x:t>
  </x:si>
  <x:si>
    <x:t xml:space="preserve">Entregable 6/6 (solo si aplica) · retoma los hallazgos de la Preentrega S12 y documenta su cierre.</x:t>
  </x:si>
  <x:si>
    <x:t xml:space="preserve">1. Identificación</x:t>
  </x:si>
  <x:si>
    <x:t xml:space="preserve">Equipo</x:t>
  </x:si>
  <x:si>
    <x:t xml:space="preserve">Fecha de la Preentrega (S12)</x:t>
  </x:si>
  <x:si>
    <x:t xml:space="preserve">Fecha de esta actualización</x:t>
  </x:si>
  <x:si>
    <x:t xml:space="preserve">Integrantes</x:t>
  </x:si>
  <x:si>
    <x:t xml:space="preserve">Estado recibido en la Preentrega</x:t>
  </x:si>
  <x:si>
    <x:t xml:space="preserve">2. Resumen automático (no editar — se calcula solo)</x:t>
  </x:si>
  <x:si>
    <x:t xml:space="preserve">Total</x:t>
  </x:si>
  <x:si>
    <x:t xml:space="preserve">Pendientes</x:t>
  </x:si>
  <x:si>
    <x:t xml:space="preserve">En progreso</x:t>
  </x:si>
  <x:si>
    <x:t xml:space="preserve">Resueltos</x:t>
  </x:si>
  <x:si>
    <x:t xml:space="preserve">Verificados</x:t>
  </x:si>
  <x:si>
    <x:t xml:space="preserve">CRÍTICA sin cerrar</x:t>
  </x:si>
  <x:si>
    <x:t xml:space="preserve">Estado del plan</x:t>
  </x:si>
  <x:si>
    <x:t xml:space="preserve">3. Detalle de hallazgos y acciones</x:t>
  </x:si>
  <x:si>
    <x:t xml:space="preserve">N.°</x:t>
  </x:si>
  <x:si>
    <x:t xml:space="preserve">Prioridad</x:t>
  </x:si>
  <x:si>
    <x:t xml:space="preserve">Categoría</x:t>
  </x:si>
  <x:si>
    <x:t xml:space="preserve">Hallazgo recibido en la Preentrega</x:t>
  </x:si>
  <x:si>
    <x:t xml:space="preserve">Acción correctiva aplicada</x:t>
  </x:si>
  <x:si>
    <x:t xml:space="preserve">Responsable</x:t>
  </x:si>
  <x:si>
    <x:t xml:space="preserve">Evidencia de cierre</x:t>
  </x:si>
  <x:si>
    <x:t xml:space="preserve">Fecha de cierre</x:t>
  </x:si>
  <x:si>
    <x:t xml:space="preserve">Estado</x:t>
  </x:si>
  <x:si>
    <x:t xml:space="preserve">Ej.</x:t>
  </x:si>
  <x:si>
    <x:t xml:space="preserve">CRÍTICA</x:t>
  </x:si>
  <x:si>
    <x:t xml:space="preserve">Validez y reproducibilidad</x:t>
  </x:si>
  <x:si>
    <x:t xml:space="preserve">El notebook no ejecuta de principio a fin: falla en la celda de unión por una clave duplicada en una tabla fuente.</x:t>
  </x:si>
  <x:si>
    <x:t xml:space="preserve">Se agregó groupby().agg() para des-duplicar la tabla de catálogo antes del merge, y un assert que verifica que la clave de unión es única antes de unir.</x:t>
  </x:si>
  <x:si>
    <x:t xml:space="preserve">Nombre del integrante</x:t>
  </x:si>
  <x:si>
    <x:t xml:space="preserve">notebook.ipynb · celda 15 (assert unicidad + merge sin error)</x:t>
  </x:si>
  <x:si>
    <x:t xml:space="preserve">—</x:t>
  </x:si>
  <x:si>
    <x:t xml:space="preserve">Resuelto</x:t>
  </x:si>
  <x:si>
    <x:t xml:space="preserve">IMPORTANTE</x:t>
  </x:si>
  <x:si>
    <x:t xml:space="preserve">Coherencia y completitud</x:t>
  </x:si>
  <x:si>
    <x:t xml:space="preserve">El informe recomienda una acción que el modelo no evalúa (el notebook no calcula esa métrica).</x:t>
  </x:si>
  <x:si>
    <x:t xml:space="preserve">Se agregó al notebook el cálculo de la métrica citada y se ajustó el párrafo de recomendación para que coincida con lo que el modelo efectivamente mide.</x:t>
  </x:si>
  <x:si>
    <x:t xml:space="preserve">Informe_Tecnico.pdf · Sección 4, y notebook.ipynb · celda 30</x:t>
  </x:si>
  <x:si>
    <x:t xml:space="preserve">↑ Ejemplos (escenario ficticio "Tiendas Andina") — no editar ni borrar ni contar en el resumen</x:t>
  </x:si>
</x:sst>
</file>

<file path=xl/styles.xml><?xml version="1.0" encoding="utf-8"?>
<x:styleSheet xmlns:x="http://schemas.openxmlformats.org/spreadsheetml/2006/main">
  <x:numFmts count="1">
    <x:numFmt numFmtId="200" formatCode="dd/mm/yyyy"/>
  </x:numFmts>
  <x:fonts count="15">
    <x:font>
      <x:sz val="11"/>
      <x:color theme="1"/>
      <x:name val="Calibri"/>
    </x:font>
    <x:font>
      <x:b/>
      <x:sz val="15"/>
      <x:color rgb="FF1F3864"/>
      <x:name val="Arial"/>
    </x:font>
    <x:font>
      <x:i/>
      <x:sz val="11"/>
      <x:color rgb="FF2E5B8A"/>
      <x:name val="Arial"/>
    </x:font>
    <x:font>
      <x:sz val="10"/>
      <x:color rgb="FF000000"/>
      <x:name val="Arial"/>
    </x:font>
    <x:font>
      <x:sz val="10"/>
      <x:color rgb="FF595959"/>
      <x:name val="Arial"/>
    </x:font>
    <x:font>
      <x:b/>
      <x:sz val="12"/>
      <x:color rgb="FF1F3864"/>
      <x:name val="Arial"/>
    </x:font>
    <x:font>
      <x:sz val="10"/>
      <x:name val="Arial"/>
    </x:font>
    <x:font>
      <x:b/>
      <x:sz val="14"/>
      <x:color rgb="FF1F3864"/>
      <x:name val="Arial"/>
    </x:font>
    <x:font>
      <x:i/>
      <x:sz val="10"/>
      <x:color rgb="FF595959"/>
      <x:name val="Arial"/>
    </x:font>
    <x:font>
      <x:b/>
      <x:sz val="10"/>
      <x:color rgb="FF1F3864"/>
      <x:name val="Arial"/>
    </x:font>
    <x:font>
      <x:b/>
      <x:sz val="9"/>
      <x:color rgb="FFFFFFFF"/>
      <x:name val="Arial"/>
    </x:font>
    <x:font>
      <x:b/>
      <x:sz val="10"/>
      <x:color rgb="FF000000"/>
      <x:name val="Arial"/>
    </x:font>
    <x:font>
      <x:i/>
      <x:sz val="10"/>
      <x:name val="Arial"/>
    </x:font>
    <x:font>
      <x:sz val="10"/>
      <x:name val="Arial"/>
    </x:font>
    <x:font>
      <x:sz val="9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FFF7CC"/>
      </x:patternFill>
    </x:fill>
    <x:fill>
      <x:patternFill patternType="solid">
        <x:fgColor rgb="FF1F3864"/>
      </x:patternFill>
    </x:fill>
    <x:fill>
      <x:patternFill patternType="solid">
        <x:fgColor rgb="FFFCE8E6"/>
      </x:patternFill>
    </x:fill>
    <x:fill>
      <x:patternFill patternType="solid">
        <x:fgColor rgb="FFDCE6F1"/>
      </x:patternFill>
    </x:fill>
  </x:fills>
  <x:borders count="3">
    <x:border/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8" fillId="0" borderId="1" xfId="0" applyFont="1" applyBorder="1" applyAlignment="1">
      <x:alignment horizontal="left" vertical="center" wrapText="1"/>
    </x:xf>
    <x:xf numFmtId="0" fontId="11" fillId="5" borderId="1" xfId="0" applyFont="1" applyFill="1" applyBorder="1" applyAlignment="1">
      <x:alignment horizontal="left" vertical="center" wrapText="1"/>
    </x:xf>
    <x:xf numFmtId="0" fontId="10" fillId="4" borderId="2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left" vertical="center" wrapText="1"/>
    </x:xf>
    <x:xf numFmtId="0" fontId="9" fillId="2" borderId="1" xfId="0" applyFont="1" applyFill="1" applyBorder="1" applyAlignment="1">
      <x:alignment horizontal="left" vertical="center" wrapText="1"/>
    </x:xf>
    <x:xf numFmtId="0" fontId="5" fillId="0" borderId="0" xfId="0" applyFont="1"/>
    <x:xf numFmtId="0" fontId="8" fillId="2" borderId="1" xfId="0" applyFont="1" applyFill="1" applyBorder="1" applyAlignment="1">
      <x:alignment horizontal="left" vertical="center" wrapText="1"/>
    </x:xf>
    <x:xf numFmtId="0" fontId="7" fillId="0" borderId="0" xfId="0" applyFont="1"/>
    <x:xf numFmtId="0" fontId="1" fillId="0" borderId="0" xfId="0" applyFont="1"/>
    <x:xf numFmtId="0" fontId="2" fillId="0" borderId="0" xfId="0" applyFont="1"/>
    <x:xf numFmtId="0" fontId="3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5" fillId="0" borderId="0" xfId="0" applyFont="1"/>
    <x:xf numFmtId="0" fontId="6" fillId="0" borderId="0" xfId="0" applyFont="1" applyAlignment="1">
      <x:alignment vertical="top" wrapText="1"/>
    </x:xf>
    <x:xf numFmtId="0" fontId="9" fillId="2" borderId="2" xfId="0" applyFont="1" applyFill="1" applyBorder="1" applyAlignment="1">
      <x:alignment horizontal="left" vertical="center" wrapText="1"/>
    </x:xf>
    <x:xf numFmtId="0" fontId="3" fillId="3" borderId="2" xfId="0" applyFont="1" applyFill="1" applyBorder="1" applyAlignment="1">
      <x:alignment horizontal="left" vertical="center" wrapText="1"/>
    </x:xf>
    <x:xf numFmtId="0" fontId="10" fillId="4" borderId="2" xfId="0" applyFont="1" applyFill="1" applyBorder="1" applyAlignment="1">
      <x:alignment horizontal="center" vertical="center" wrapText="1"/>
    </x:xf>
    <x:xf numFmtId="0" fontId="11" fillId="2" borderId="2" xfId="0" applyFont="1" applyFill="1" applyBorder="1" applyAlignment="1">
      <x:alignment horizontal="center" vertical="center" wrapText="1"/>
    </x:xf>
    <x:xf numFmtId="0" fontId="3" fillId="2" borderId="2" xfId="0" applyFont="1" applyFill="1" applyBorder="1" applyAlignment="1">
      <x:alignment horizontal="center" vertical="center" wrapText="1"/>
    </x:xf>
    <x:xf numFmtId="0" fontId="12" fillId="6" borderId="0" xfId="0" applyFont="1" applyFill="1" applyAlignment="1">
      <x:alignment vertical="center" wrapText="1"/>
    </x:xf>
    <x:xf numFmtId="0" fontId="3" fillId="0" borderId="2" xfId="0" applyFont="1" applyBorder="1" applyAlignment="1">
      <x:alignment horizontal="center" vertical="center" wrapText="1"/>
    </x:xf>
    <x:xf numFmtId="200" fontId="3" fillId="3" borderId="1" xfId="0" applyNumberFormat="1" applyFont="1" applyFill="1" applyBorder="1" applyAlignment="1">
      <x:alignment horizontal="left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0" fontId="3" fillId="3" borderId="2" xfId="0" applyNumberFormat="1" applyFont="1" applyFill="1" applyBorder="1" applyAlignment="1">
      <x:alignment horizontal="left" vertical="top" wrapText="1"/>
    </x:xf>
    <x:xf numFmtId="0" fontId="14" fillId="0" borderId="2" xfId="0" applyNumberFormat="1" applyFont="1" applyFill="1" applyBorder="1" applyAlignment="1">
      <x:alignment horizontal="center" vertical="top" wrapText="1"/>
    </x:xf>
    <x:xf numFmtId="0" fontId="14" fillId="3" borderId="2" xfId="0" applyNumberFormat="1" applyFont="1" applyFill="1" applyBorder="1" applyAlignment="1">
      <x:alignment horizontal="left" vertical="top" wrapText="1"/>
    </x:xf>
    <x:xf numFmtId="0" fontId="14" fillId="3" borderId="2" xfId="0" applyNumberFormat="1" applyFont="1" applyFill="1" applyBorder="1" applyAlignment="1">
      <x:alignment horizontal="center" vertical="top" wrapText="1"/>
    </x:xf>
    <x:xf numFmtId="0" fontId="14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7CC"/>
      <x:rgbColor rgb="FFEDF2F7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CE6F1"/>
      <x:rgbColor rgb="FFCCFFCC"/>
      <x:rgbColor rgb="FFFCE8E6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03300"/>
      <x:rgbColor rgb="FF333300"/>
      <x:rgbColor rgb="FF993300"/>
      <x:rgbColor rgb="FF993366"/>
      <x:rgbColor rgb="FF2E5B8A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d3efaf0cf84181" /><Relationship Type="http://schemas.openxmlformats.org/officeDocument/2006/relationships/theme" Target="/xl/theme/theme1.xml" Id="Ra1901fe46c36448e" /><Relationship Type="http://schemas.openxmlformats.org/officeDocument/2006/relationships/sharedStrings" Target="/xl/sharedStrings.xml" Id="Rb53a07bc78a84fe8" /><Relationship Type="http://schemas.openxmlformats.org/officeDocument/2006/relationships/worksheet" Target="/xl/worksheets/sheet1.xml" Id="R68943b268dba49ac" /><Relationship Type="http://schemas.openxmlformats.org/officeDocument/2006/relationships/worksheet" Target="/xl/worksheets/sheet2.xml" Id="R99e0ac2c1c2c4734" /><Relationship Type="http://schemas.microsoft.com/office/2017/10/relationships/person" Target="/xl/persons/person.xml" Id="R430454fe63f44735" /></Relationships>
</file>

<file path=xl/persons/person.xml><?xml version="1.0" encoding="utf-8"?>
<xltc:personList xmlns:xltc="http://schemas.microsoft.com/office/spreadsheetml/2018/threadedcomments">
  <xltc:person displayName="Unknown Author" id="{78922DC4-1BB6-CD6A-C01D-92898C674C7E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875df59b5d56434b" /><Relationship Type="http://schemas.openxmlformats.org/officeDocument/2006/relationships/vmlDrawing" Target="/xl/drawings/vmldrawing.vml" Id="R8b9c052143544b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9140625" defaultRowHeight="14.600000381469727"/>
  <x:cols>
    <x:col min="1" max="1" width="98" customWidth="1"/>
  </x:cols>
  <x:sheetData>
    <x:row r="1" ht="19.299999237060547">
      <x:c r="A1" s="9" t="s">
        <x:v>0</x:v>
      </x:c>
    </x:row>
    <x:row r="2">
      <x:c r="A2" s="10" t="s">
        <x:v>1</x:v>
      </x:c>
    </x:row>
    <x:row r="4" ht="37.29999923706055">
      <x:c r="A4" s="11" t="s">
        <x:v>2</x:v>
      </x:c>
    </x:row>
    <x:row r="5">
      <x:c r="A5" s="12"/>
    </x:row>
    <x:row r="6" ht="49.75">
      <x:c r="A6" s="11" t="s">
        <x:v>3</x:v>
      </x:c>
    </x:row>
    <x:row r="7">
      <x:c r="A7" s="12"/>
    </x:row>
    <x:row r="8">
      <x:c r="A8" s="11" t="s">
        <x:v>4</x:v>
      </x:c>
    </x:row>
    <x:row r="9" ht="24.899999618530273">
      <x:c r="A9" s="11" t="s">
        <x:v>5</x:v>
      </x:c>
    </x:row>
    <x:row r="10" ht="24.899999618530273">
      <x:c r="A10" s="11" t="s">
        <x:v>6</x:v>
      </x:c>
    </x:row>
    <x:row r="11" ht="37.29999923706055">
      <x:c r="A11" s="11" t="s">
        <x:v>7</x:v>
      </x:c>
    </x:row>
    <x:row r="12" ht="37.29999923706055">
      <x:c r="A12" s="11" t="s">
        <x:v>8</x:v>
      </x:c>
    </x:row>
    <x:row r="13">
      <x:c r="A13" s="12"/>
    </x:row>
    <x:row r="14" ht="37.29999923706055">
      <x:c r="A14" s="11" t="s">
        <x:v>9</x:v>
      </x:c>
    </x:row>
    <x:row r="16" ht="15.449999809265137">
      <x:c r="A16" s="13" t="s">
        <x:v>10</x:v>
      </x:c>
    </x:row>
    <x:row r="17" ht="24.899999618530273">
      <x:c r="A17" s="14" t="s">
        <x:v>11</x:v>
      </x:c>
    </x:row>
    <x:row r="18">
      <x:c r="A18" s="14" t="s">
        <x:v>12</x:v>
      </x:c>
    </x:row>
    <x:row r="19" ht="24.899999618530273">
      <x:c r="A19" s="14" t="s">
        <x:v>13</x:v>
      </x:c>
    </x:row>
    <x:row r="20" ht="24.899999618530273">
      <x:c r="A20" s="14" t="s">
        <x:v>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ColWidth="8.69140625" defaultRowHeight="14.600000381469727"/>
  <x:cols>
    <x:col min="1" max="1" width="5" customWidth="1"/>
    <x:col min="2" max="2" width="14" customWidth="1"/>
    <x:col min="3" max="3" width="22" customWidth="1"/>
    <x:col min="4" max="5" width="32" customWidth="1"/>
    <x:col min="6" max="6" width="16" customWidth="1"/>
    <x:col min="7" max="7" width="26" customWidth="1"/>
    <x:col min="8" max="9" width="14" customWidth="1"/>
  </x:cols>
  <x:sheetData>
    <x:row r="1" ht="17.600000381469727">
      <x:c r="A1" s="8" t="s">
        <x:v>15</x:v>
      </x:c>
      <x:c r="B1" s="8"/>
      <x:c r="C1" s="8"/>
      <x:c r="D1" s="8"/>
      <x:c r="E1" s="8"/>
      <x:c r="F1" s="8"/>
      <x:c r="G1" s="8"/>
      <x:c r="H1" s="8"/>
      <x:c r="I1" s="8"/>
    </x:row>
    <x:row r="2" ht="21.75" customHeight="1">
      <x:c r="A2" s="7" t="s">
        <x:v>16</x:v>
      </x:c>
      <x:c r="B2" s="7"/>
      <x:c r="C2" s="7"/>
      <x:c r="D2" s="7"/>
      <x:c r="E2" s="7"/>
      <x:c r="F2" s="7"/>
      <x:c r="G2" s="7"/>
      <x:c r="H2" s="7"/>
      <x:c r="I2" s="7"/>
    </x:row>
    <x:row r="4" ht="15.449999809265137">
      <x:c r="A4" s="6" t="s">
        <x:v>17</x:v>
      </x:c>
      <x:c r="B4" s="6"/>
      <x:c r="C4" s="6"/>
      <x:c r="D4" s="6"/>
      <x:c r="E4" s="6"/>
      <x:c r="F4" s="6"/>
      <x:c r="G4" s="6"/>
      <x:c r="H4" s="6"/>
      <x:c r="I4" s="6"/>
    </x:row>
    <x:row r="5" ht="15" customHeight="1">
      <x:c r="A5" s="5" t="s">
        <x:v>18</x:v>
      </x:c>
      <x:c r="B5" s="5"/>
      <x:c r="C5" s="4" t="str">
        <x:v>Grupo 06</x:v>
      </x:c>
      <x:c r="D5" s="4"/>
      <x:c r="E5" s="15" t="s">
        <x:v>19</x:v>
      </x:c>
      <x:c r="F5" s="16" t="str">
        <x:v>No proporcionada</x:v>
      </x:c>
      <x:c r="G5" s="15" t="s">
        <x:v>20</x:v>
      </x:c>
      <x:c r="H5" s="22" t="n">
        <x:v>46293</x:v>
      </x:c>
      <x:c r="I5" s="4"/>
    </x:row>
    <x:row r="6" ht="15" customHeight="1">
      <x:c r="A6" s="5" t="s">
        <x:v>21</x:v>
      </x:c>
      <x:c r="B6" s="5"/>
      <x:c r="C6" s="4" t="str">
        <x:v>Pendiente de completar por el equipo</x:v>
      </x:c>
      <x:c r="D6" s="4"/>
      <x:c r="E6" s="15" t="s">
        <x:v>22</x:v>
      </x:c>
      <x:c r="F6" s="4" t="str">
        <x:v>No proporcionado</x:v>
      </x:c>
      <x:c r="G6" s="4"/>
    </x:row>
    <x:row r="8" ht="15.449999809265137">
      <x:c r="A8" s="6" t="s">
        <x:v>23</x:v>
      </x:c>
      <x:c r="B8" s="6"/>
      <x:c r="C8" s="6"/>
      <x:c r="D8" s="6"/>
      <x:c r="E8" s="6"/>
      <x:c r="F8" s="6"/>
      <x:c r="G8" s="6"/>
      <x:c r="H8" s="6"/>
      <x:c r="I8" s="6"/>
    </x:row>
    <x:row r="9" ht="15" customHeight="1">
      <x:c r="A9" s="17" t="s">
        <x:v>24</x:v>
      </x:c>
      <x:c r="B9" s="17" t="s">
        <x:v>25</x:v>
      </x:c>
      <x:c r="C9" s="17" t="s">
        <x:v>26</x:v>
      </x:c>
      <x:c r="D9" s="17" t="s">
        <x:v>27</x:v>
      </x:c>
      <x:c r="E9" s="17" t="s">
        <x:v>28</x:v>
      </x:c>
      <x:c r="F9" s="17" t="s">
        <x:v>29</x:v>
      </x:c>
      <x:c r="G9" s="3" t="s">
        <x:v>30</x:v>
      </x:c>
      <x:c r="H9" s="3"/>
      <x:c r="I9" s="3"/>
    </x:row>
    <x:row r="10">
      <x:c r="A10" s="18" t="n">
        <x:f>COUNTA(B17:B28)</x:f>
        <x:v>3</x:v>
      </x:c>
      <x:c r="B10" s="19" t="n">
        <x:f>COUNTIF(I17:I28,"Pendiente")</x:f>
        <x:v>3</x:v>
      </x:c>
      <x:c r="C10" s="19" t="n">
        <x:f>COUNTIF(I17:I28,"En progreso")</x:f>
        <x:v>0</x:v>
      </x:c>
      <x:c r="D10" s="19" t="n">
        <x:f>COUNTIF(I17:I28,"Resuelto")</x:f>
        <x:v>0</x:v>
      </x:c>
      <x:c r="E10" s="19" t="n">
        <x:f>COUNTIF(I17:I28,"Verificado")</x:f>
        <x:v>0</x:v>
      </x:c>
      <x:c r="F10" s="18" t="n">
        <x:f>COUNTIFS(B17:B28,"CRÍTICA",I17:I28,"&lt;&gt;Resuelto",I17:I28,"&lt;&gt;Verificado")</x:f>
        <x:v>0</x:v>
      </x:c>
      <x:c r="G10" s="2" t="str">
        <x:f>IF(F10&gt;0,"BLOQUEA — hay hallazgos CRÍTICA sin cerrar",IF(COUNTIFS(B17:B28,"IMPORTANTE",I17:I28,"&lt;&gt;Resuelto",I17:I28,"&lt;&gt;Verificado")&gt;0,"En progreso — quedan hallazgos IMPORTANTES","Completo — todos los hallazgos cerrados"))</x:f>
        <x:v>En progreso — quedan hallazgos IMPORTANTES</x:v>
      </x:c>
      <x:c r="H10" s="2"/>
      <x:c r="I10" s="2"/>
    </x:row>
    <x:row r="12" ht="15.449999809265137">
      <x:c r="A12" s="6" t="s">
        <x:v>31</x:v>
      </x:c>
      <x:c r="B12" s="6"/>
      <x:c r="C12" s="6"/>
      <x:c r="D12" s="6"/>
      <x:c r="E12" s="6"/>
      <x:c r="F12" s="6"/>
      <x:c r="G12" s="6"/>
      <x:c r="H12" s="6"/>
      <x:c r="I12" s="6"/>
    </x:row>
    <x:row r="13" ht="19.5" customHeight="1">
      <x:c r="A13" s="17" t="s">
        <x:v>32</x:v>
      </x:c>
      <x:c r="B13" s="17" t="s">
        <x:v>33</x:v>
      </x:c>
      <x:c r="C13" s="17" t="s">
        <x:v>34</x:v>
      </x:c>
      <x:c r="D13" s="17" t="s">
        <x:v>35</x:v>
      </x:c>
      <x:c r="E13" s="17" t="s">
        <x:v>36</x:v>
      </x:c>
      <x:c r="F13" s="17" t="s">
        <x:v>37</x:v>
      </x:c>
      <x:c r="G13" s="17" t="s">
        <x:v>38</x:v>
      </x:c>
      <x:c r="H13" s="17" t="s">
        <x:v>39</x:v>
      </x:c>
      <x:c r="I13" s="17" t="s">
        <x:v>40</x:v>
      </x:c>
    </x:row>
    <x:row r="14" ht="78" customHeight="1">
      <x:c r="A14" s="20" t="s">
        <x:v>41</x:v>
      </x:c>
      <x:c r="B14" s="20" t="s">
        <x:v>42</x:v>
      </x:c>
      <x:c r="C14" s="20" t="s">
        <x:v>43</x:v>
      </x:c>
      <x:c r="D14" s="20" t="s">
        <x:v>44</x:v>
      </x:c>
      <x:c r="E14" s="20" t="s">
        <x:v>45</x:v>
      </x:c>
      <x:c r="F14" s="20" t="s">
        <x:v>46</x:v>
      </x:c>
      <x:c r="G14" s="20" t="s">
        <x:v>47</x:v>
      </x:c>
      <x:c r="H14" s="20" t="s">
        <x:v>48</x:v>
      </x:c>
      <x:c r="I14" s="20" t="s">
        <x:v>49</x:v>
      </x:c>
    </x:row>
    <x:row r="15" ht="78" customHeight="1">
      <x:c r="A15" s="20" t="s">
        <x:v>41</x:v>
      </x:c>
      <x:c r="B15" s="20" t="s">
        <x:v>50</x:v>
      </x:c>
      <x:c r="C15" s="20" t="s">
        <x:v>51</x:v>
      </x:c>
      <x:c r="D15" s="20" t="s">
        <x:v>52</x:v>
      </x:c>
      <x:c r="E15" s="20" t="s">
        <x:v>53</x:v>
      </x:c>
      <x:c r="F15" s="20" t="s">
        <x:v>46</x:v>
      </x:c>
      <x:c r="G15" s="20" t="s">
        <x:v>54</x:v>
      </x:c>
      <x:c r="H15" s="20" t="s">
        <x:v>48</x:v>
      </x:c>
      <x:c r="I15" s="20" t="s">
        <x:v>26</x:v>
      </x:c>
    </x:row>
    <x:row r="16" ht="15" customHeight="1">
      <x:c r="A16" s="1" t="s">
        <x:v>55</x:v>
      </x:c>
      <x:c r="B16" s="1"/>
      <x:c r="C16" s="1"/>
      <x:c r="D16" s="1"/>
      <x:c r="E16" s="1"/>
      <x:c r="F16" s="1"/>
      <x:c r="G16" s="1"/>
      <x:c r="H16" s="1"/>
      <x:c r="I16" s="1"/>
    </x:row>
    <x:row r="17" ht="76" customHeight="1">
      <x:c r="A17" s="27" t="n">
        <x:v>1</x:v>
      </x:c>
      <x:c r="B17" s="29" t="str">
        <x:v>IMPORTANTE</x:v>
      </x:c>
      <x:c r="C17" s="29" t="str">
        <x:v>Coherencia y completitud</x:v>
      </x:c>
      <x:c r="D17" s="28" t="str">
        <x:v>No se proporcionaron la rúbrica de Preentrega S12, el estado recibido ni los hallazgos registrados por el docente.</x:v>
      </x:c>
      <x:c r="E17" s="28" t="str">
        <x:v>Incorporar literalmente el estado y los hallazgos de la Sección 5 de la rúbrica S12. Después, ajustar prioridad, categoría, acción y evidencia sin atribuir al docente observaciones no recibidas.</x:v>
      </x:c>
      <x:c r="F17" s="29" t="str">
        <x:v>Equipo (asignar)</x:v>
      </x:c>
      <x:c r="G17" s="28" t="str">
        <x:v>GIAD_M3_S12_Rubrica_Preentrega_CALCULADORA.xlsx · Sección 5, cuando sea entregada</x:v>
      </x:c>
      <x:c r="H17" s="29"/>
      <x:c r="I17" s="30" t="str">
        <x:v>Pendiente</x:v>
      </x:c>
    </x:row>
    <x:row r="18" ht="76" customHeight="1">
      <x:c r="A18" s="27" t="n">
        <x:v>2</x:v>
      </x:c>
      <x:c r="B18" s="29" t="str">
        <x:v>IMPORTANTE</x:v>
      </x:c>
      <x:c r="C18" s="29" t="str">
        <x:v>Coherencia y completitud</x:v>
      </x:c>
      <x:c r="D18" s="28" t="str">
        <x:v>La identificación del equipo y los nombres de integrantes siguen pendientes en los entregables finales.</x:v>
      </x:c>
      <x:c r="E18" s="28" t="str">
        <x:v>Completar los nombres reales en el informe técnico, la matriz de trazabilidad y este plan. Registrar también la aprobación final del equipo.</x:v>
      </x:c>
      <x:c r="F18" s="29" t="str">
        <x:v>Equipo (asignar)</x:v>
      </x:c>
      <x:c r="G18" s="28" t="str">
        <x:v>Informe_Tecnico_Final_AndinaLog_03B.docx · portada y Verificación final; GIAD_M3_Matriz_Trazabilidad_AndinaLog_03B.xlsx · C5:C6</x:v>
      </x:c>
      <x:c r="H18" s="29"/>
      <x:c r="I18" s="30" t="str">
        <x:v>Pendiente</x:v>
      </x:c>
    </x:row>
    <x:row r="19" ht="76" customHeight="1">
      <x:c r="A19" s="27" t="n">
        <x:v>3</x:v>
      </x:c>
      <x:c r="B19" s="29" t="str">
        <x:v>IMPORTANTE</x:v>
      </x:c>
      <x:c r="C19" s="29" t="str">
        <x:v>Responsabilidad y autoría</x:v>
      </x:c>
      <x:c r="D19" s="28" t="str">
        <x:v>La matriz de trazabilidad todavía no tiene Verificado por ni Fecha de verificación para las evidencias del proyecto.</x:v>
      </x:c>
      <x:c r="E19" s="28" t="str">
        <x:v>Asignar a un integrante distinto del autor para comprobar cada evidencia. Completar nombre y fecha solamente después de abrir el archivo citado y confirmar que respalda la afirmación.</x:v>
      </x:c>
      <x:c r="F19" s="29" t="str">
        <x:v>Equipo (asignar)</x:v>
      </x:c>
      <x:c r="G19" s="28" t="str">
        <x:v>GIAD_M3_Matriz_Trazabilidad_AndinaLog_03B.xlsx · Matriz_Trazabilidad · G15:H29</x:v>
      </x:c>
      <x:c r="H19" s="29"/>
      <x:c r="I19" s="30" t="str">
        <x:v>Pendiente</x:v>
      </x:c>
    </x:row>
    <x:row r="20">
      <x:c r="A20" s="21">
        <x:v>4</x:v>
      </x:c>
      <x:c r="B20" s="16"/>
      <x:c r="C20" s="16"/>
      <x:c r="D20" s="16"/>
      <x:c r="E20" s="16"/>
      <x:c r="F20" s="16"/>
      <x:c r="G20" s="16"/>
      <x:c r="H20" s="16"/>
      <x:c r="I20" s="16"/>
    </x:row>
    <x:row r="21">
      <x:c r="A21" s="21">
        <x:v>5</x:v>
      </x:c>
      <x:c r="B21" s="16"/>
      <x:c r="C21" s="16"/>
      <x:c r="D21" s="16"/>
      <x:c r="E21" s="16"/>
      <x:c r="F21" s="16"/>
      <x:c r="G21" s="16"/>
      <x:c r="H21" s="16"/>
      <x:c r="I21" s="16"/>
    </x:row>
    <x:row r="22">
      <x:c r="A22" s="21">
        <x:v>6</x:v>
      </x:c>
      <x:c r="B22" s="16"/>
      <x:c r="C22" s="16"/>
      <x:c r="D22" s="16"/>
      <x:c r="E22" s="16"/>
      <x:c r="F22" s="16"/>
      <x:c r="G22" s="16"/>
      <x:c r="H22" s="16"/>
      <x:c r="I22" s="16"/>
    </x:row>
    <x:row r="23">
      <x:c r="A23" s="21">
        <x:v>7</x:v>
      </x:c>
      <x:c r="B23" s="16"/>
      <x:c r="C23" s="16"/>
      <x:c r="D23" s="16"/>
      <x:c r="E23" s="16"/>
      <x:c r="F23" s="16"/>
      <x:c r="G23" s="16"/>
      <x:c r="H23" s="16"/>
      <x:c r="I23" s="16"/>
    </x:row>
    <x:row r="24">
      <x:c r="A24" s="21">
        <x:v>8</x:v>
      </x:c>
      <x:c r="B24" s="16"/>
      <x:c r="C24" s="16"/>
      <x:c r="D24" s="16"/>
      <x:c r="E24" s="16"/>
      <x:c r="F24" s="16"/>
      <x:c r="G24" s="16"/>
      <x:c r="H24" s="16"/>
      <x:c r="I24" s="16"/>
    </x:row>
    <x:row r="25">
      <x:c r="A25" s="21">
        <x:v>9</x:v>
      </x:c>
      <x:c r="B25" s="16"/>
      <x:c r="C25" s="16"/>
      <x:c r="D25" s="16"/>
      <x:c r="E25" s="16"/>
      <x:c r="F25" s="16"/>
      <x:c r="G25" s="16"/>
      <x:c r="H25" s="16"/>
      <x:c r="I25" s="16"/>
    </x:row>
    <x:row r="26">
      <x:c r="A26" s="21">
        <x:v>10</x:v>
      </x:c>
      <x:c r="B26" s="16"/>
      <x:c r="C26" s="16"/>
      <x:c r="D26" s="16"/>
      <x:c r="E26" s="16"/>
      <x:c r="F26" s="16"/>
      <x:c r="G26" s="16"/>
      <x:c r="H26" s="16"/>
      <x:c r="I26" s="16"/>
    </x:row>
    <x:row r="27">
      <x:c r="A27" s="21">
        <x:v>11</x:v>
      </x:c>
      <x:c r="B27" s="16"/>
      <x:c r="C27" s="16"/>
      <x:c r="D27" s="16"/>
      <x:c r="E27" s="16"/>
      <x:c r="F27" s="16"/>
      <x:c r="G27" s="16"/>
      <x:c r="H27" s="16"/>
      <x:c r="I27" s="16"/>
    </x:row>
    <x:row r="28">
      <x:c r="A28" s="21">
        <x:v>12</x:v>
      </x:c>
      <x:c r="B28" s="16"/>
      <x:c r="C28" s="16"/>
      <x:c r="D28" s="16"/>
      <x:c r="E28" s="16"/>
      <x:c r="F28" s="16"/>
      <x:c r="G28" s="16"/>
      <x:c r="H28" s="16"/>
      <x:c r="I28" s="16"/>
    </x:row>
  </x:sheetData>
  <x:mergeCells>
    <x:mergeCell ref="G10:I10"/>
    <x:mergeCell ref="A12:I12"/>
    <x:mergeCell ref="A16:I16"/>
    <x:mergeCell ref="A6:B6"/>
    <x:mergeCell ref="C6:D6"/>
    <x:mergeCell ref="F6:G6"/>
    <x:mergeCell ref="A8:I8"/>
    <x:mergeCell ref="G9:I9"/>
    <x:mergeCell ref="A1:I1"/>
    <x:mergeCell ref="A2:I2"/>
    <x:mergeCell ref="A4:I4"/>
    <x:mergeCell ref="A5:B5"/>
    <x:mergeCell ref="C5:D5"/>
    <x:mergeCell ref="H5:I5"/>
  </x:mergeCells>
  <x:dataValidations count="4">
    <x:dataValidation type="list" allowBlank="1" sqref="F6">
      <x:formula1>"REQUIERE REENTREGA,INCOMPLETO - FALTAN NIVELES,ACEPTADA CON CORRECCIONES,LISTA PARA DEFENSA"</x:formula1>
      <x:formula2>0</x:formula2>
    </x:dataValidation>
    <x:dataValidation type="list" allowBlank="1" sqref="B17:B28">
      <x:formula1>"CRÍTICA,IMPORTANTE,MENOR"</x:formula1>
      <x:formula2>0</x:formula2>
    </x:dataValidation>
    <x:dataValidation type="list" allowBlank="1" sqref="C17:C28">
      <x:formula1>"Validez y reproducibilidad,Confidencialidad,Coherencia y completitud,Responsabilidad y autoría,Otra"</x:formula1>
      <x:formula2>0</x:formula2>
    </x:dataValidation>
    <x:dataValidation type="list" allowBlank="1" sqref="I17:I28">
      <x:formula1>"Pendiente,En progreso,Resuelto,Verificado"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8b9c052143544b51"/>
</x:worksheet>
</file>